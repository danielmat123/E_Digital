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<sst xmlns="http://schemas.openxmlformats.org/spreadsheetml/2006/main" count="24" uniqueCount="10">
  <si>
    <t>Parte 2:</t>
  </si>
  <si>
    <t>57 Bytes:</t>
  </si>
  <si>
    <t>Baudrate</t>
  </si>
  <si>
    <t>T. Medios s</t>
  </si>
  <si>
    <t>Teorico</t>
  </si>
  <si>
    <t>Error</t>
  </si>
  <si>
    <t>88 Bytes</t>
  </si>
  <si>
    <t>T. Medios micros</t>
  </si>
  <si>
    <t>128 Bytes</t>
  </si>
  <si>
    <t>160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</si>
</sst>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ptos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T. Medios frente a Bausrate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'Hoja 1'!$B$1:$B$3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T. Medios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'Hoja 1'!$A$4:$A$11</c:f>
            </c:numRef>
          </c:xVal>
          <c:yVal>
            <c:numRef>
              <c:f>'Hoja 1'!$B$4:$B$11</c:f>
              <c:numCache/>
            </c:numRef>
          </c:yVal>
        </c:ser>
        <c:ser>
          <c:idx val="1"/>
          <c:order val="1"/>
          <c:tx>
            <c:strRef>
              <c:f>'Hoja 1'!$C$1:$C$3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'Hoja 1'!$A$4:$A$11</c:f>
            </c:numRef>
          </c:xVal>
          <c:yVal>
            <c:numRef>
              <c:f>'Hoja 1'!$C$4:$C$11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128921"/>
        <c:axId val="668787936"/>
      </c:scatterChart>
      <c:valAx>
        <c:axId val="1964128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Bausrate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787936"/>
      </c:valAx>
      <c:valAx>
        <c:axId val="668787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T. Medios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128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0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>
        <f>10^(-6)</f>
        <v>0.000001</v>
      </c>
    </row>
    <row r="2">
      <c r="A2" s="2" t="s">
        <v>1</v>
      </c>
    </row>
    <row r="3">
      <c r="A3" s="2" t="s">
        <v>2</v>
      </c>
      <c r="B3" s="2"/>
      <c r="C3" s="2" t="s">
        <v>3</v>
      </c>
      <c r="D3" s="2" t="s">
        <v>4</v>
      </c>
      <c r="E3" s="2" t="s">
        <v>5</v>
      </c>
    </row>
    <row r="4">
      <c r="A4" s="2">
        <v>9600.0</v>
      </c>
      <c r="B4" s="2"/>
      <c r="C4" s="2">
        <f>105772*10^(-6)</f>
        <v>0.105772</v>
      </c>
      <c r="D4" s="3">
        <f t="shared" ref="D4:D7" si="1">456/A4</f>
        <v>0.0475</v>
      </c>
      <c r="E4" s="4">
        <f>ABS(C4-D4)*100/D4</f>
        <v>122.6778947</v>
      </c>
    </row>
    <row r="5">
      <c r="A5" s="5">
        <v>600.0</v>
      </c>
      <c r="B5" s="5"/>
      <c r="C5" s="5">
        <f>1699524*10^(-6)</f>
        <v>1.699524</v>
      </c>
      <c r="D5" s="3">
        <f t="shared" si="1"/>
        <v>0.76</v>
      </c>
      <c r="E5" s="4">
        <f t="shared" ref="E5:E7" si="2">ABS(C5-D5)/D5 * 100</f>
        <v>123.6215789</v>
      </c>
    </row>
    <row r="6">
      <c r="A6" s="6">
        <v>57600.0</v>
      </c>
      <c r="B6" s="6"/>
      <c r="C6" s="6">
        <f>17024*10^(-6)</f>
        <v>0.017024</v>
      </c>
      <c r="D6" s="3">
        <f t="shared" si="1"/>
        <v>0.007916666667</v>
      </c>
      <c r="E6" s="4">
        <f t="shared" si="2"/>
        <v>115.04</v>
      </c>
    </row>
    <row r="7">
      <c r="A7" s="5">
        <v>115200.0</v>
      </c>
      <c r="B7" s="5"/>
      <c r="C7" s="5">
        <f>8336*10^(-6)</f>
        <v>0.008336</v>
      </c>
      <c r="D7" s="3">
        <f t="shared" si="1"/>
        <v>0.003958333333</v>
      </c>
      <c r="E7" s="4">
        <f t="shared" si="2"/>
        <v>110.5936842</v>
      </c>
    </row>
    <row r="8">
      <c r="A8" s="5"/>
      <c r="B8" s="5"/>
      <c r="C8" s="5"/>
    </row>
    <row r="9">
      <c r="A9" s="2" t="s">
        <v>6</v>
      </c>
    </row>
    <row r="10">
      <c r="A10" s="2" t="s">
        <v>2</v>
      </c>
      <c r="B10" s="2" t="s">
        <v>7</v>
      </c>
      <c r="C10" s="2" t="s">
        <v>3</v>
      </c>
      <c r="D10" s="2" t="s">
        <v>4</v>
      </c>
      <c r="E10" s="2" t="s">
        <v>5</v>
      </c>
    </row>
    <row r="11">
      <c r="A11" s="2">
        <v>9600.0</v>
      </c>
      <c r="B11" s="2">
        <v>138012.0</v>
      </c>
      <c r="C11" s="3">
        <f t="shared" ref="C11:C14" si="3">B11*D$1</f>
        <v>0.138012</v>
      </c>
      <c r="D11" s="3">
        <f t="shared" ref="D11:D14" si="4">704/A11</f>
        <v>0.07333333333</v>
      </c>
      <c r="E11" s="3">
        <f t="shared" ref="E11:E14" si="5">ABS(C11-D11)*100/D11</f>
        <v>88.19818182</v>
      </c>
    </row>
    <row r="12">
      <c r="A12" s="5">
        <v>600.0</v>
      </c>
      <c r="B12" s="2">
        <v>2216136.0</v>
      </c>
      <c r="C12" s="3">
        <f t="shared" si="3"/>
        <v>2.216136</v>
      </c>
      <c r="D12" s="3">
        <f t="shared" si="4"/>
        <v>1.173333333</v>
      </c>
      <c r="E12" s="3">
        <f t="shared" si="5"/>
        <v>88.87522727</v>
      </c>
    </row>
    <row r="13">
      <c r="A13" s="6">
        <v>57600.0</v>
      </c>
      <c r="B13" s="2">
        <v>22292.0</v>
      </c>
      <c r="C13" s="3">
        <f t="shared" si="3"/>
        <v>0.022292</v>
      </c>
      <c r="D13" s="3">
        <f t="shared" si="4"/>
        <v>0.01222222222</v>
      </c>
      <c r="E13" s="3">
        <f t="shared" si="5"/>
        <v>82.38909091</v>
      </c>
    </row>
    <row r="14">
      <c r="A14" s="5">
        <v>115200.0</v>
      </c>
      <c r="B14" s="2">
        <v>10976.0</v>
      </c>
      <c r="C14" s="3">
        <f t="shared" si="3"/>
        <v>0.010976</v>
      </c>
      <c r="D14" s="3">
        <f t="shared" si="4"/>
        <v>0.006111111111</v>
      </c>
      <c r="E14" s="3">
        <f t="shared" si="5"/>
        <v>79.60727273</v>
      </c>
    </row>
    <row r="16">
      <c r="A16" s="2" t="s">
        <v>8</v>
      </c>
    </row>
    <row r="17">
      <c r="A17" s="2" t="s">
        <v>2</v>
      </c>
      <c r="B17" s="2" t="s">
        <v>7</v>
      </c>
      <c r="C17" s="2" t="s">
        <v>3</v>
      </c>
      <c r="D17" s="2" t="s">
        <v>4</v>
      </c>
      <c r="E17" s="2" t="s">
        <v>5</v>
      </c>
    </row>
    <row r="18">
      <c r="A18" s="2">
        <v>9600.0</v>
      </c>
      <c r="B18" s="2">
        <v>179612.0</v>
      </c>
      <c r="C18" s="3">
        <f t="shared" ref="C18:C21" si="6">B18*D$1</f>
        <v>0.179612</v>
      </c>
      <c r="D18" s="3">
        <f t="shared" ref="D18:D21" si="7">1024/A18</f>
        <v>0.1066666667</v>
      </c>
      <c r="E18" s="3">
        <f t="shared" ref="E18:E21" si="8">ABS(C18-D18)*100/D18</f>
        <v>68.38625</v>
      </c>
    </row>
    <row r="19">
      <c r="A19" s="5">
        <v>600.0</v>
      </c>
      <c r="B19" s="2">
        <v>2882740.0</v>
      </c>
      <c r="C19" s="3">
        <f t="shared" si="6"/>
        <v>2.88274</v>
      </c>
      <c r="D19" s="3">
        <f t="shared" si="7"/>
        <v>1.706666667</v>
      </c>
      <c r="E19" s="3">
        <f t="shared" si="8"/>
        <v>68.91054688</v>
      </c>
    </row>
    <row r="20">
      <c r="A20" s="6">
        <v>57600.0</v>
      </c>
      <c r="B20" s="2">
        <v>29092.0</v>
      </c>
      <c r="C20" s="3">
        <f t="shared" si="6"/>
        <v>0.029092</v>
      </c>
      <c r="D20" s="3">
        <f t="shared" si="7"/>
        <v>0.01777777778</v>
      </c>
      <c r="E20" s="3">
        <f t="shared" si="8"/>
        <v>63.6425</v>
      </c>
    </row>
    <row r="21">
      <c r="A21" s="5">
        <v>115200.0</v>
      </c>
      <c r="B21" s="2">
        <v>14372.0</v>
      </c>
      <c r="C21" s="3">
        <f t="shared" si="6"/>
        <v>0.014372</v>
      </c>
      <c r="D21" s="3">
        <f t="shared" si="7"/>
        <v>0.008888888889</v>
      </c>
      <c r="E21" s="3">
        <f t="shared" si="8"/>
        <v>61.685</v>
      </c>
    </row>
    <row r="24">
      <c r="A24" s="2" t="s">
        <v>9</v>
      </c>
    </row>
    <row r="25">
      <c r="A25" s="2" t="s">
        <v>2</v>
      </c>
      <c r="B25" s="2" t="s">
        <v>7</v>
      </c>
      <c r="C25" s="2" t="s">
        <v>3</v>
      </c>
      <c r="D25" s="2" t="s">
        <v>4</v>
      </c>
      <c r="E25" s="2" t="s">
        <v>5</v>
      </c>
    </row>
    <row r="26">
      <c r="A26" s="2">
        <v>9600.0</v>
      </c>
      <c r="B26" s="2">
        <v>212892.0</v>
      </c>
      <c r="C26" s="3">
        <f t="shared" ref="C26:C29" si="9">B26*D$1</f>
        <v>0.212892</v>
      </c>
      <c r="D26" s="3">
        <f t="shared" ref="D26:D29" si="10">1280/A26</f>
        <v>0.1333333333</v>
      </c>
      <c r="E26" s="3">
        <f t="shared" ref="E26:E29" si="11">ABS(C26-D26)*100/D26</f>
        <v>59.669</v>
      </c>
    </row>
    <row r="27">
      <c r="A27" s="5">
        <v>600.0</v>
      </c>
      <c r="B27" s="2">
        <v>3416016.0</v>
      </c>
      <c r="C27" s="3">
        <f t="shared" si="9"/>
        <v>3.416016</v>
      </c>
      <c r="D27" s="3">
        <f t="shared" si="10"/>
        <v>2.133333333</v>
      </c>
      <c r="E27" s="3">
        <f t="shared" si="11"/>
        <v>60.12575</v>
      </c>
    </row>
    <row r="28">
      <c r="A28" s="6">
        <v>57600.0</v>
      </c>
      <c r="B28" s="2">
        <v>34540.0</v>
      </c>
      <c r="C28" s="3">
        <f t="shared" si="9"/>
        <v>0.03454</v>
      </c>
      <c r="D28" s="3">
        <f t="shared" si="10"/>
        <v>0.02222222222</v>
      </c>
      <c r="E28" s="3">
        <f t="shared" si="11"/>
        <v>55.43</v>
      </c>
    </row>
    <row r="29">
      <c r="A29" s="5">
        <v>115200.0</v>
      </c>
      <c r="B29" s="2">
        <v>17092.0</v>
      </c>
      <c r="C29" s="3">
        <f t="shared" si="9"/>
        <v>0.017092</v>
      </c>
      <c r="D29" s="3">
        <f t="shared" si="10"/>
        <v>0.01111111111</v>
      </c>
      <c r="E29" s="3">
        <f t="shared" si="11"/>
        <v>53.828</v>
      </c>
    </row>
  </sheetData>
  <mergeCells count="1">
    <mergeCell ref="A1:C1"/>
  </mergeCells>
  <drawing r:id="rId1"/>
</worksheet>
</file>